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ea3394c19a8bc08f/AS-ISO Templates/"/>
    </mc:Choice>
  </mc:AlternateContent>
  <xr:revisionPtr revIDLastSave="3" documentId="8_{76E0F599-E1E0-4ADF-A302-D63D9E289A40}" xr6:coauthVersionLast="47" xr6:coauthVersionMax="47" xr10:uidLastSave="{5862F657-327B-4FFA-AA9A-560D957CD18E}"/>
  <bookViews>
    <workbookView xWindow="-120" yWindow="-120" windowWidth="29040" windowHeight="15840" activeTab="2" xr2:uid="{00000000-000D-0000-FFFF-FFFF00000000}"/>
  </bookViews>
  <sheets>
    <sheet name="INSTRUCTIONS" sheetId="1" r:id="rId1"/>
    <sheet name="SCORING TABLE" sheetId="2" r:id="rId2"/>
    <sheet name="RISK REGISTER" sheetId="3" r:id="rId3"/>
    <sheet name="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6" i="4"/>
  <c r="B5" i="4"/>
  <c r="B4" i="4"/>
</calcChain>
</file>

<file path=xl/sharedStrings.xml><?xml version="1.0" encoding="utf-8"?>
<sst xmlns="http://schemas.openxmlformats.org/spreadsheetml/2006/main" count="131" uniqueCount="114">
  <si>
    <t>Using the Operational Risk Register</t>
  </si>
  <si>
    <t>Purpose:</t>
  </si>
  <si>
    <t xml:space="preserve">  This workbook tracks operational and compliance risks for the organization in line with AS9100D Clause 8.1.1.</t>
  </si>
  <si>
    <t>Tabs:</t>
  </si>
  <si>
    <t xml:space="preserve">  • SCORING TABLE – Definitions for scoring and the risk matrix.</t>
  </si>
  <si>
    <t xml:space="preserve">  • RISK REGISTER – Continuous log. Fill one line per risk.</t>
  </si>
  <si>
    <t xml:space="preserve">  • DASHBOARD – Automatic roll‑up of open risks by category.</t>
  </si>
  <si>
    <t>Steps:</t>
  </si>
  <si>
    <t xml:space="preserve">  1. Go to RISK REGISTER and enter a new row when a risk is identified.</t>
  </si>
  <si>
    <t xml:space="preserve">  2. Select Severity, Likelihood, Detection (1–10). The RPN and category calculate automatically.</t>
  </si>
  <si>
    <t xml:space="preserve">  3. Add mitigation, owner and target date. Update Status and residual scores when actions close.</t>
  </si>
  <si>
    <t xml:space="preserve">  4. Review the Dashboard before Management Review.</t>
  </si>
  <si>
    <t>Scoring quick view:</t>
  </si>
  <si>
    <t xml:space="preserve">  Severity: 1 (no effect) … 10 (catastrophic safety / regulatory impact)</t>
  </si>
  <si>
    <t xml:space="preserve">  Likelihood: 1 (remote, &gt;5 yr) … 10 (weekly / inevitable)</t>
  </si>
  <si>
    <t xml:space="preserve">  Detection: 1 (certain) … 10 (undetectable)</t>
  </si>
  <si>
    <t>Risk Category thresholds:</t>
  </si>
  <si>
    <t xml:space="preserve">  RPN &lt; 100 → Low (green)</t>
  </si>
  <si>
    <t xml:space="preserve">  100–199   → Medium (yellow)</t>
  </si>
  <si>
    <t xml:space="preserve">  200–299   → High (orange)</t>
  </si>
  <si>
    <t xml:space="preserve">  ≥ 300     → Critical (red)</t>
  </si>
  <si>
    <t>Maintain this file as a living document. Protect formulas; add rows as needed.</t>
  </si>
  <si>
    <t>Severity / Likelihood / Detection – 1‑10 Definitions</t>
  </si>
  <si>
    <t>Score</t>
  </si>
  <si>
    <t>Definition (apply to S, L or D)</t>
  </si>
  <si>
    <t>1</t>
  </si>
  <si>
    <t>No impact / Remote / Always detected</t>
  </si>
  <si>
    <t>3</t>
  </si>
  <si>
    <t>Minor internal issue / Unlikely / High detection</t>
  </si>
  <si>
    <t>5</t>
  </si>
  <si>
    <t>Moderate customer effect / Possible / Moderate detection</t>
  </si>
  <si>
    <t>7</t>
  </si>
  <si>
    <t>Significant rework or reg. concern / Likely / Low detection</t>
  </si>
  <si>
    <t>10</t>
  </si>
  <si>
    <t>Catastrophic safety or recall / Frequent / Undetectable</t>
  </si>
  <si>
    <t>Risk Matrix (Likelihood × Severity)</t>
  </si>
  <si>
    <t>Risk ID</t>
  </si>
  <si>
    <t>Date Identified</t>
  </si>
  <si>
    <t>Topic / Area</t>
  </si>
  <si>
    <t>Risk Description</t>
  </si>
  <si>
    <t>Potential Impact</t>
  </si>
  <si>
    <t>Assessment Frequency</t>
  </si>
  <si>
    <t>Quantified? (Yes/No)</t>
  </si>
  <si>
    <t>Metrics</t>
  </si>
  <si>
    <t>Monitored Over Time? (Yes/No)</t>
  </si>
  <si>
    <t>Severity</t>
  </si>
  <si>
    <t>Likelihood</t>
  </si>
  <si>
    <t>Detection</t>
  </si>
  <si>
    <t>RPN</t>
  </si>
  <si>
    <t>Risk Category</t>
  </si>
  <si>
    <t>Mitigation Plan</t>
  </si>
  <si>
    <t>Owner</t>
  </si>
  <si>
    <t>Target Date</t>
  </si>
  <si>
    <t>Status</t>
  </si>
  <si>
    <t>Residual Severity</t>
  </si>
  <si>
    <t>Residual Likelihood</t>
  </si>
  <si>
    <t>Residual Detection</t>
  </si>
  <si>
    <t>Residual RPN</t>
  </si>
  <si>
    <t>Residual Category</t>
  </si>
  <si>
    <t>Comments</t>
  </si>
  <si>
    <t>RISK-001</t>
  </si>
  <si>
    <t>2025-05-05</t>
  </si>
  <si>
    <t>Supply Chain</t>
  </si>
  <si>
    <t>Global alloy shortage could delay deliveries</t>
  </si>
  <si>
    <t>Schedule impact</t>
  </si>
  <si>
    <t>Weekly</t>
  </si>
  <si>
    <t>YES</t>
  </si>
  <si>
    <t>Supplier OTD %</t>
  </si>
  <si>
    <t>Dual sourcing, expedite options</t>
  </si>
  <si>
    <t>2025-06-30</t>
  </si>
  <si>
    <t>Open</t>
  </si>
  <si>
    <t>RISK-002</t>
  </si>
  <si>
    <t>FOD</t>
  </si>
  <si>
    <t>Foreign Object risk in assembly</t>
  </si>
  <si>
    <t>Potential flight safety</t>
  </si>
  <si>
    <t>Daily</t>
  </si>
  <si>
    <t>FOD count</t>
  </si>
  <si>
    <t>Tool control, FOD sweeps</t>
  </si>
  <si>
    <t>Quality</t>
  </si>
  <si>
    <t>2025-05-31</t>
  </si>
  <si>
    <t>RISK-003</t>
  </si>
  <si>
    <t>Counterfeit Parts</t>
  </si>
  <si>
    <t>Unapproved parts risk</t>
  </si>
  <si>
    <t>Nonconforming product</t>
  </si>
  <si>
    <t>Per PO</t>
  </si>
  <si>
    <t>NO</t>
  </si>
  <si>
    <t>Approved vendor list only</t>
  </si>
  <si>
    <t>Procurement</t>
  </si>
  <si>
    <t>2025-07-15</t>
  </si>
  <si>
    <t>RISK-004</t>
  </si>
  <si>
    <t>Calibration</t>
  </si>
  <si>
    <t>Expired torque wrench calibration</t>
  </si>
  <si>
    <t>Quality escape</t>
  </si>
  <si>
    <t>Monthly</t>
  </si>
  <si>
    <t>Past due tools</t>
  </si>
  <si>
    <t>Auto calibration alerts</t>
  </si>
  <si>
    <t>Metrology</t>
  </si>
  <si>
    <t>2025-05-25</t>
  </si>
  <si>
    <t>RISK-005</t>
  </si>
  <si>
    <t>Cybersecurity</t>
  </si>
  <si>
    <t>Network intrusion risk</t>
  </si>
  <si>
    <t>Data loss</t>
  </si>
  <si>
    <t>Continuous</t>
  </si>
  <si>
    <t>Incidents</t>
  </si>
  <si>
    <t>Firewall, MFA</t>
  </si>
  <si>
    <t>IT</t>
  </si>
  <si>
    <t>2025-08-01</t>
  </si>
  <si>
    <t>Risk Summary (counts by category)</t>
  </si>
  <si>
    <t>Category</t>
  </si>
  <si>
    <t>Open Items</t>
  </si>
  <si>
    <t>Critical</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</si>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</sst>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6">
    <fill>
      <patternFill patternType="none"/>
    </fill>
    <fill>
      <patternFill patternType="gray125"/>
    </fill>
    <fill>
      <patternFill patternType="solid">
        <fgColor rgb="FFD9D9D9"/>
        <bgColor rgb="FFD9D9D9"/>
      </patternFill>
    </fill>
    <fill>
      <patternFill patternType="solid">
        <fgColor rgb="FF92D050"/>
        <bgColor rgb="FF92D050"/>
      </patternFill>
    </fill>
    <fill>
      <patternFill patternType="solid">
        <fgColor rgb="FFFFFF00"/>
        <bgColor rgb="FFFFFF00"/>
      </patternFill>
    </fill>
    <fill>
      <patternFill patternType="solid">
        <fgColor rgb="FFBFBFBF"/>
        <bgColor rgb="FFBFBFB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2" borderId="0" xfId="0" applyFill="1"/>
    <xf numFmtId="0" fontId="0" fillId="3" borderId="0" xfId="0" applyFill="1" applyAlignment="1">
      <alignment horizontal="center"/>
    </xf>
    <xf numFmtId="0" fontId="0" fillId="4" borderId="0" xfId="0" applyFill="1" applyAlignment="1">
      <alignment horizontal="center"/>
    </xf>
    <xf numFmtId="0" fontId="2" fillId="5" borderId="1" xfId="0" applyFont="1" applyFill="1" applyBorder="1" applyAlignment="1">
      <alignment horizontal="center" vertical="center" wrapText="1"/>
    </xf>
    <xf numFmtId="0" fontId="0" fillId="0" borderId="1" xfId="0" applyBorder="1"/>
  </cellXfs>
  <cellStyles count="1">
    <cellStyle name="Normal" xfId="0" builtinId="0"/>
  </cellStyles>
  <dxfs count="8">
    <dxf>
      <fill>
        <patternFill patternType="solid">
          <fgColor rgb="FF92D050"/>
        </patternFill>
      </fill>
    </dxf>
    <dxf>
      <fill>
        <patternFill patternType="solid">
          <fgColor rgb="FFFFFF00"/>
        </patternFill>
      </fill>
    </dxf>
    <dxf>
      <fill>
        <patternFill patternType="solid">
          <fgColor rgb="FFFFA500"/>
        </patternFill>
      </fill>
    </dxf>
    <dxf>
      <fill>
        <patternFill patternType="solid">
          <fgColor rgb="FFFF0000"/>
        </patternFill>
      </fill>
    </dxf>
    <dxf>
      <fill>
        <patternFill patternType="solid">
          <fgColor rgb="FF92D050"/>
        </patternFill>
      </fill>
    </dxf>
    <dxf>
      <fill>
        <patternFill patternType="solid">
          <fgColor rgb="FFFFFF00"/>
        </patternFill>
      </fill>
    </dxf>
    <dxf>
      <fill>
        <patternFill patternType="solid">
          <fgColor rgb="FFFFA500"/>
        </patternFill>
      </fill>
    </dxf>
    <dxf>
      <fill>
        <patternFill patternType="solid">
          <f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view="pageLayout" zoomScaleNormal="100" workbookViewId="0">
      <selection activeCell="A24" sqref="A24"/>
    </sheetView>
  </sheetViews>
  <sheetFormatPr defaultRowHeight="15" x14ac:dyDescent="0.25"/>
  <cols>
    <col min="1" max="1" width="110" customWidth="1"/>
  </cols>
  <sheetData>
    <row r="1" spans="1:1" ht="18.75" x14ac:dyDescent="0.3">
      <c r="A1" s="1" t="s">
        <v>0</v>
      </c>
    </row>
    <row r="4" spans="1:1" x14ac:dyDescent="0.25">
      <c r="A4" t="s">
        <v>1</v>
      </c>
    </row>
    <row r="5" spans="1:1" x14ac:dyDescent="0.25">
      <c r="A5" t="s">
        <v>2</v>
      </c>
    </row>
    <row r="7" spans="1:1" x14ac:dyDescent="0.25">
      <c r="A7" t="s">
        <v>3</v>
      </c>
    </row>
    <row r="8" spans="1:1" x14ac:dyDescent="0.25">
      <c r="A8" t="s">
        <v>4</v>
      </c>
    </row>
    <row r="9" spans="1:1" x14ac:dyDescent="0.25">
      <c r="A9" t="s">
        <v>5</v>
      </c>
    </row>
    <row r="10" spans="1:1" x14ac:dyDescent="0.25">
      <c r="A10" t="s">
        <v>6</v>
      </c>
    </row>
    <row r="12" spans="1:1" x14ac:dyDescent="0.25">
      <c r="A12" t="s">
        <v>7</v>
      </c>
    </row>
    <row r="13" spans="1:1" x14ac:dyDescent="0.25">
      <c r="A13" t="s">
        <v>8</v>
      </c>
    </row>
    <row r="14" spans="1:1" x14ac:dyDescent="0.25">
      <c r="A14" t="s">
        <v>9</v>
      </c>
    </row>
    <row r="15" spans="1:1" x14ac:dyDescent="0.25">
      <c r="A15" t="s">
        <v>10</v>
      </c>
    </row>
    <row r="16" spans="1:1" x14ac:dyDescent="0.25">
      <c r="A16" t="s">
        <v>11</v>
      </c>
    </row>
    <row r="18" spans="1:1" x14ac:dyDescent="0.25">
      <c r="A18" t="s">
        <v>12</v>
      </c>
    </row>
    <row r="19" spans="1:1" x14ac:dyDescent="0.25">
      <c r="A19" t="s">
        <v>13</v>
      </c>
    </row>
    <row r="20" spans="1:1" x14ac:dyDescent="0.25">
      <c r="A20" t="s">
        <v>14</v>
      </c>
    </row>
    <row r="21" spans="1:1" x14ac:dyDescent="0.25">
      <c r="A21"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9" spans="1:1" x14ac:dyDescent="0.25">
      <c r="A29" t="s">
        <v>21</v>
      </c>
    </row>
  </sheetData>
  <pageMargins left="0.75" right="0.75" top="1" bottom="1" header="0.5" footer="0.5"/>
  <pageSetup orientation="portrait" r:id="rId1"/>
  <headerFooter>
    <oddHeader>&amp;CInsert Logo Here&amp;ROperational Risk Register
F-811-001 Rev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view="pageLayout" zoomScaleNormal="100" workbookViewId="0">
      <selection activeCell="M24" sqref="M24"/>
    </sheetView>
  </sheetViews>
  <sheetFormatPr defaultRowHeight="15" x14ac:dyDescent="0.25"/>
  <cols>
    <col min="1" max="1" width="20" customWidth="1"/>
    <col min="2" max="12" width="5" customWidth="1"/>
  </cols>
  <sheetData>
    <row r="1" spans="1:11" ht="18.75" x14ac:dyDescent="0.3">
      <c r="A1" s="1" t="s">
        <v>22</v>
      </c>
    </row>
    <row r="3" spans="1:11" x14ac:dyDescent="0.25">
      <c r="A3" t="s">
        <v>23</v>
      </c>
      <c r="B3" t="s">
        <v>24</v>
      </c>
    </row>
    <row r="4" spans="1:11" x14ac:dyDescent="0.25">
      <c r="A4" t="s">
        <v>25</v>
      </c>
      <c r="B4" t="s">
        <v>26</v>
      </c>
    </row>
    <row r="5" spans="1:11" x14ac:dyDescent="0.25">
      <c r="A5" t="s">
        <v>27</v>
      </c>
      <c r="B5" t="s">
        <v>28</v>
      </c>
    </row>
    <row r="6" spans="1:11" x14ac:dyDescent="0.25">
      <c r="A6" t="s">
        <v>29</v>
      </c>
      <c r="B6" t="s">
        <v>30</v>
      </c>
    </row>
    <row r="7" spans="1:11" x14ac:dyDescent="0.25">
      <c r="A7" t="s">
        <v>31</v>
      </c>
      <c r="B7" t="s">
        <v>32</v>
      </c>
    </row>
    <row r="8" spans="1:11" x14ac:dyDescent="0.25">
      <c r="A8" t="s">
        <v>33</v>
      </c>
      <c r="B8" t="s">
        <v>34</v>
      </c>
    </row>
    <row r="10" spans="1:11" x14ac:dyDescent="0.25">
      <c r="A10" s="2" t="s">
        <v>35</v>
      </c>
    </row>
    <row r="11" spans="1:11" x14ac:dyDescent="0.25">
      <c r="B11" s="3">
        <v>1</v>
      </c>
      <c r="C11" s="3">
        <v>2</v>
      </c>
      <c r="D11" s="3">
        <v>3</v>
      </c>
      <c r="E11" s="3">
        <v>4</v>
      </c>
      <c r="F11" s="3">
        <v>5</v>
      </c>
      <c r="G11" s="3">
        <v>6</v>
      </c>
      <c r="H11" s="3">
        <v>7</v>
      </c>
      <c r="I11" s="3">
        <v>8</v>
      </c>
      <c r="J11" s="3">
        <v>9</v>
      </c>
      <c r="K11" s="3">
        <v>10</v>
      </c>
    </row>
    <row r="12" spans="1:11" x14ac:dyDescent="0.25">
      <c r="A12" s="3">
        <v>10</v>
      </c>
      <c r="B12" s="4">
        <v>10</v>
      </c>
      <c r="C12" s="4">
        <v>20</v>
      </c>
      <c r="D12" s="4">
        <v>30</v>
      </c>
      <c r="E12" s="4">
        <v>40</v>
      </c>
      <c r="F12" s="4">
        <v>50</v>
      </c>
      <c r="G12" s="4">
        <v>60</v>
      </c>
      <c r="H12" s="4">
        <v>70</v>
      </c>
      <c r="I12" s="4">
        <v>80</v>
      </c>
      <c r="J12" s="4">
        <v>90</v>
      </c>
      <c r="K12" s="5">
        <v>100</v>
      </c>
    </row>
    <row r="13" spans="1:11" x14ac:dyDescent="0.25">
      <c r="A13" s="3">
        <v>9</v>
      </c>
      <c r="B13" s="4">
        <v>9</v>
      </c>
      <c r="C13" s="4">
        <v>18</v>
      </c>
      <c r="D13" s="4">
        <v>27</v>
      </c>
      <c r="E13" s="4">
        <v>36</v>
      </c>
      <c r="F13" s="4">
        <v>45</v>
      </c>
      <c r="G13" s="4">
        <v>54</v>
      </c>
      <c r="H13" s="4">
        <v>63</v>
      </c>
      <c r="I13" s="4">
        <v>72</v>
      </c>
      <c r="J13" s="4">
        <v>81</v>
      </c>
      <c r="K13" s="4">
        <v>90</v>
      </c>
    </row>
    <row r="14" spans="1:11" x14ac:dyDescent="0.25">
      <c r="A14" s="3">
        <v>8</v>
      </c>
      <c r="B14" s="4">
        <v>8</v>
      </c>
      <c r="C14" s="4">
        <v>16</v>
      </c>
      <c r="D14" s="4">
        <v>24</v>
      </c>
      <c r="E14" s="4">
        <v>32</v>
      </c>
      <c r="F14" s="4">
        <v>40</v>
      </c>
      <c r="G14" s="4">
        <v>48</v>
      </c>
      <c r="H14" s="4">
        <v>56</v>
      </c>
      <c r="I14" s="4">
        <v>64</v>
      </c>
      <c r="J14" s="4">
        <v>72</v>
      </c>
      <c r="K14" s="4">
        <v>80</v>
      </c>
    </row>
    <row r="15" spans="1:11" x14ac:dyDescent="0.25">
      <c r="A15" s="3">
        <v>7</v>
      </c>
      <c r="B15" s="4">
        <v>7</v>
      </c>
      <c r="C15" s="4">
        <v>14</v>
      </c>
      <c r="D15" s="4">
        <v>21</v>
      </c>
      <c r="E15" s="4">
        <v>28</v>
      </c>
      <c r="F15" s="4">
        <v>35</v>
      </c>
      <c r="G15" s="4">
        <v>42</v>
      </c>
      <c r="H15" s="4">
        <v>49</v>
      </c>
      <c r="I15" s="4">
        <v>56</v>
      </c>
      <c r="J15" s="4">
        <v>63</v>
      </c>
      <c r="K15" s="4">
        <v>70</v>
      </c>
    </row>
    <row r="16" spans="1:11" x14ac:dyDescent="0.25">
      <c r="A16" s="3">
        <v>6</v>
      </c>
      <c r="B16" s="4">
        <v>6</v>
      </c>
      <c r="C16" s="4">
        <v>12</v>
      </c>
      <c r="D16" s="4">
        <v>18</v>
      </c>
      <c r="E16" s="4">
        <v>24</v>
      </c>
      <c r="F16" s="4">
        <v>30</v>
      </c>
      <c r="G16" s="4">
        <v>36</v>
      </c>
      <c r="H16" s="4">
        <v>42</v>
      </c>
      <c r="I16" s="4">
        <v>48</v>
      </c>
      <c r="J16" s="4">
        <v>54</v>
      </c>
      <c r="K16" s="4">
        <v>60</v>
      </c>
    </row>
    <row r="17" spans="1:11" x14ac:dyDescent="0.25">
      <c r="A17" s="3">
        <v>5</v>
      </c>
      <c r="B17" s="4">
        <v>5</v>
      </c>
      <c r="C17" s="4">
        <v>10</v>
      </c>
      <c r="D17" s="4">
        <v>15</v>
      </c>
      <c r="E17" s="4">
        <v>20</v>
      </c>
      <c r="F17" s="4">
        <v>25</v>
      </c>
      <c r="G17" s="4">
        <v>30</v>
      </c>
      <c r="H17" s="4">
        <v>35</v>
      </c>
      <c r="I17" s="4">
        <v>40</v>
      </c>
      <c r="J17" s="4">
        <v>45</v>
      </c>
      <c r="K17" s="4">
        <v>50</v>
      </c>
    </row>
    <row r="18" spans="1:11" x14ac:dyDescent="0.25">
      <c r="A18" s="3">
        <v>4</v>
      </c>
      <c r="B18" s="4">
        <v>4</v>
      </c>
      <c r="C18" s="4">
        <v>8</v>
      </c>
      <c r="D18" s="4">
        <v>12</v>
      </c>
      <c r="E18" s="4">
        <v>16</v>
      </c>
      <c r="F18" s="4">
        <v>20</v>
      </c>
      <c r="G18" s="4">
        <v>24</v>
      </c>
      <c r="H18" s="4">
        <v>28</v>
      </c>
      <c r="I18" s="4">
        <v>32</v>
      </c>
      <c r="J18" s="4">
        <v>36</v>
      </c>
      <c r="K18" s="4">
        <v>40</v>
      </c>
    </row>
    <row r="19" spans="1:11" x14ac:dyDescent="0.25">
      <c r="A19" s="3">
        <v>3</v>
      </c>
      <c r="B19" s="4">
        <v>3</v>
      </c>
      <c r="C19" s="4">
        <v>6</v>
      </c>
      <c r="D19" s="4">
        <v>9</v>
      </c>
      <c r="E19" s="4">
        <v>12</v>
      </c>
      <c r="F19" s="4">
        <v>15</v>
      </c>
      <c r="G19" s="4">
        <v>18</v>
      </c>
      <c r="H19" s="4">
        <v>21</v>
      </c>
      <c r="I19" s="4">
        <v>24</v>
      </c>
      <c r="J19" s="4">
        <v>27</v>
      </c>
      <c r="K19" s="4">
        <v>30</v>
      </c>
    </row>
    <row r="20" spans="1:11" x14ac:dyDescent="0.25">
      <c r="A20" s="3">
        <v>2</v>
      </c>
      <c r="B20" s="4">
        <v>2</v>
      </c>
      <c r="C20" s="4">
        <v>4</v>
      </c>
      <c r="D20" s="4">
        <v>6</v>
      </c>
      <c r="E20" s="4">
        <v>8</v>
      </c>
      <c r="F20" s="4">
        <v>10</v>
      </c>
      <c r="G20" s="4">
        <v>12</v>
      </c>
      <c r="H20" s="4">
        <v>14</v>
      </c>
      <c r="I20" s="4">
        <v>16</v>
      </c>
      <c r="J20" s="4">
        <v>18</v>
      </c>
      <c r="K20" s="4">
        <v>20</v>
      </c>
    </row>
    <row r="21" spans="1:11" x14ac:dyDescent="0.25">
      <c r="A21" s="3">
        <v>1</v>
      </c>
      <c r="B21" s="4">
        <v>1</v>
      </c>
      <c r="C21" s="4">
        <v>2</v>
      </c>
      <c r="D21" s="4">
        <v>3</v>
      </c>
      <c r="E21" s="4">
        <v>4</v>
      </c>
      <c r="F21" s="4">
        <v>5</v>
      </c>
      <c r="G21" s="4">
        <v>6</v>
      </c>
      <c r="H21" s="4">
        <v>7</v>
      </c>
      <c r="I21" s="4">
        <v>8</v>
      </c>
      <c r="J21" s="4">
        <v>9</v>
      </c>
      <c r="K21" s="4">
        <v>10</v>
      </c>
    </row>
  </sheetData>
  <pageMargins left="0.75" right="0.75" top="1" bottom="1" header="0.5" footer="0.5"/>
  <pageSetup orientation="portrait" r:id="rId1"/>
  <headerFooter>
    <oddHeader>&amp;CInsert Logo Here&amp;ROperational Risk Register
F-811-001 Rev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8"/>
  <sheetViews>
    <sheetView tabSelected="1" topLeftCell="D1" zoomScaleNormal="100" workbookViewId="0">
      <selection activeCell="D10" sqref="D10"/>
    </sheetView>
  </sheetViews>
  <sheetFormatPr defaultRowHeight="15" x14ac:dyDescent="0.25"/>
  <cols>
    <col min="1" max="1" width="8.5703125" bestFit="1" customWidth="1"/>
    <col min="2" max="2" width="14.5703125" bestFit="1" customWidth="1"/>
    <col min="3" max="3" width="16.28515625" bestFit="1" customWidth="1"/>
    <col min="4" max="4" width="40.42578125" bestFit="1" customWidth="1"/>
    <col min="5" max="5" width="22.5703125" bestFit="1" customWidth="1"/>
    <col min="6" max="6" width="21.7109375" bestFit="1" customWidth="1"/>
    <col min="7" max="7" width="20.28515625" bestFit="1" customWidth="1"/>
    <col min="8" max="8" width="14.7109375" bestFit="1" customWidth="1"/>
    <col min="9" max="9" width="30.28515625" bestFit="1" customWidth="1"/>
    <col min="10" max="10" width="8.28515625" bestFit="1" customWidth="1"/>
    <col min="11" max="11" width="10.28515625" bestFit="1" customWidth="1"/>
    <col min="12" max="12" width="9.7109375" bestFit="1" customWidth="1"/>
    <col min="13" max="13" width="29.7109375" bestFit="1" customWidth="1"/>
    <col min="14" max="14" width="12.85546875" bestFit="1" customWidth="1"/>
    <col min="15" max="15" width="14.7109375" bestFit="1" customWidth="1"/>
    <col min="16" max="16" width="7" bestFit="1" customWidth="1"/>
    <col min="17" max="17" width="11.140625" bestFit="1" customWidth="1"/>
    <col min="18" max="18" width="6.42578125" bestFit="1" customWidth="1"/>
    <col min="19" max="19" width="16.42578125" bestFit="1" customWidth="1"/>
    <col min="20" max="20" width="18.5703125" bestFit="1" customWidth="1"/>
    <col min="21" max="21" width="18" bestFit="1" customWidth="1"/>
    <col min="22" max="22" width="12.7109375" bestFit="1" customWidth="1"/>
    <col min="23" max="23" width="17" bestFit="1" customWidth="1"/>
    <col min="24" max="24" width="10.5703125" bestFit="1" customWidth="1"/>
  </cols>
  <sheetData>
    <row r="1" spans="1:24" x14ac:dyDescent="0.25">
      <c r="A1" s="6" t="s">
        <v>36</v>
      </c>
      <c r="B1" s="6" t="s">
        <v>37</v>
      </c>
      <c r="C1" s="6" t="s">
        <v>38</v>
      </c>
      <c r="D1" s="6" t="s">
        <v>39</v>
      </c>
      <c r="E1" s="6" t="s">
        <v>40</v>
      </c>
      <c r="F1" s="6" t="s">
        <v>41</v>
      </c>
      <c r="G1" s="6" t="s">
        <v>42</v>
      </c>
      <c r="H1" s="6" t="s">
        <v>43</v>
      </c>
      <c r="I1" s="6" t="s">
        <v>44</v>
      </c>
      <c r="J1" s="6" t="s">
        <v>45</v>
      </c>
      <c r="K1" s="6" t="s">
        <v>46</v>
      </c>
      <c r="L1" s="6" t="s">
        <v>47</v>
      </c>
      <c r="M1" s="6" t="s">
        <v>48</v>
      </c>
      <c r="N1" s="6" t="s">
        <v>49</v>
      </c>
      <c r="O1" s="6" t="s">
        <v>50</v>
      </c>
      <c r="P1" s="6" t="s">
        <v>51</v>
      </c>
      <c r="Q1" s="6" t="s">
        <v>52</v>
      </c>
      <c r="R1" s="6" t="s">
        <v>53</v>
      </c>
      <c r="S1" s="6" t="s">
        <v>54</v>
      </c>
      <c r="T1" s="6" t="s">
        <v>55</v>
      </c>
      <c r="U1" s="6" t="s">
        <v>56</v>
      </c>
      <c r="V1" s="6" t="s">
        <v>57</v>
      </c>
      <c r="W1" s="6" t="s">
        <v>58</v>
      </c>
      <c r="X1" s="6" t="s">
        <v>59</v>
      </c>
    </row>
    <row r="2" spans="1:24" x14ac:dyDescent="0.25">
      <c r="A2" s="7" t="s">
        <v>60</v>
      </c>
      <c r="B2" s="7" t="s">
        <v>61</v>
      </c>
      <c r="C2" s="7" t="s">
        <v>62</v>
      </c>
      <c r="D2" s="7" t="s">
        <v>63</v>
      </c>
      <c r="E2" s="7" t="s">
        <v>64</v>
      </c>
      <c r="F2" s="7" t="s">
        <v>65</v>
      </c>
      <c r="G2" s="7" t="s">
        <v>66</v>
      </c>
      <c r="H2" s="7" t="s">
        <v>67</v>
      </c>
      <c r="I2" s="7" t="s">
        <v>66</v>
      </c>
      <c r="J2" s="7">
        <v>7</v>
      </c>
      <c r="K2" s="7">
        <v>6</v>
      </c>
      <c r="L2" s="7">
        <v>4</v>
      </c>
      <c r="M2" s="7" t="s">
        <v>68</v>
      </c>
      <c r="N2" s="7" t="s">
        <v>62</v>
      </c>
      <c r="O2" s="7" t="s">
        <v>69</v>
      </c>
      <c r="P2" s="7" t="s">
        <v>70</v>
      </c>
      <c r="Q2" s="7"/>
      <c r="R2" s="7"/>
      <c r="S2" s="7"/>
      <c r="T2" s="7"/>
      <c r="U2" s="7"/>
      <c r="V2" s="7"/>
      <c r="W2" s="7"/>
      <c r="X2" s="7"/>
    </row>
    <row r="3" spans="1:24" x14ac:dyDescent="0.25">
      <c r="A3" s="7" t="s">
        <v>71</v>
      </c>
      <c r="B3" s="7" t="s">
        <v>61</v>
      </c>
      <c r="C3" s="7" t="s">
        <v>72</v>
      </c>
      <c r="D3" s="7" t="s">
        <v>73</v>
      </c>
      <c r="E3" s="7" t="s">
        <v>74</v>
      </c>
      <c r="F3" s="7" t="s">
        <v>75</v>
      </c>
      <c r="G3" s="7" t="s">
        <v>66</v>
      </c>
      <c r="H3" s="7" t="s">
        <v>76</v>
      </c>
      <c r="I3" s="7" t="s">
        <v>66</v>
      </c>
      <c r="J3" s="7">
        <v>9</v>
      </c>
      <c r="K3" s="7">
        <v>3</v>
      </c>
      <c r="L3" s="7">
        <v>5</v>
      </c>
      <c r="M3" s="7" t="s">
        <v>77</v>
      </c>
      <c r="N3" s="7" t="s">
        <v>78</v>
      </c>
      <c r="O3" s="7" t="s">
        <v>79</v>
      </c>
      <c r="P3" s="7" t="s">
        <v>70</v>
      </c>
      <c r="Q3" s="7"/>
      <c r="R3" s="7"/>
      <c r="S3" s="7"/>
      <c r="T3" s="7"/>
      <c r="U3" s="7"/>
      <c r="V3" s="7"/>
      <c r="W3" s="7"/>
      <c r="X3" s="7"/>
    </row>
    <row r="4" spans="1:24" x14ac:dyDescent="0.25">
      <c r="A4" s="7" t="s">
        <v>80</v>
      </c>
      <c r="B4" s="7" t="s">
        <v>61</v>
      </c>
      <c r="C4" s="7" t="s">
        <v>81</v>
      </c>
      <c r="D4" s="7" t="s">
        <v>82</v>
      </c>
      <c r="E4" s="7" t="s">
        <v>83</v>
      </c>
      <c r="F4" s="7" t="s">
        <v>84</v>
      </c>
      <c r="G4" s="7" t="s">
        <v>85</v>
      </c>
      <c r="H4" s="7"/>
      <c r="I4" s="7" t="s">
        <v>66</v>
      </c>
      <c r="J4" s="7">
        <v>8</v>
      </c>
      <c r="K4" s="7">
        <v>2</v>
      </c>
      <c r="L4" s="7">
        <v>6</v>
      </c>
      <c r="M4" s="7" t="s">
        <v>86</v>
      </c>
      <c r="N4" s="7" t="s">
        <v>87</v>
      </c>
      <c r="O4" s="7" t="s">
        <v>88</v>
      </c>
      <c r="P4" s="7" t="s">
        <v>70</v>
      </c>
      <c r="Q4" s="7"/>
      <c r="R4" s="7"/>
      <c r="S4" s="7"/>
      <c r="T4" s="7"/>
      <c r="U4" s="7"/>
      <c r="V4" s="7"/>
      <c r="W4" s="7"/>
      <c r="X4" s="7"/>
    </row>
    <row r="5" spans="1:24" x14ac:dyDescent="0.25">
      <c r="A5" s="7" t="s">
        <v>89</v>
      </c>
      <c r="B5" s="7" t="s">
        <v>61</v>
      </c>
      <c r="C5" s="7" t="s">
        <v>90</v>
      </c>
      <c r="D5" s="7" t="s">
        <v>91</v>
      </c>
      <c r="E5" s="7" t="s">
        <v>92</v>
      </c>
      <c r="F5" s="7" t="s">
        <v>93</v>
      </c>
      <c r="G5" s="7" t="s">
        <v>66</v>
      </c>
      <c r="H5" s="7" t="s">
        <v>94</v>
      </c>
      <c r="I5" s="7" t="s">
        <v>66</v>
      </c>
      <c r="J5" s="7">
        <v>6</v>
      </c>
      <c r="K5" s="7">
        <v>4</v>
      </c>
      <c r="L5" s="7">
        <v>3</v>
      </c>
      <c r="M5" s="7" t="s">
        <v>95</v>
      </c>
      <c r="N5" s="7" t="s">
        <v>96</v>
      </c>
      <c r="O5" s="7" t="s">
        <v>97</v>
      </c>
      <c r="P5" s="7" t="s">
        <v>70</v>
      </c>
      <c r="Q5" s="7"/>
      <c r="R5" s="7"/>
      <c r="S5" s="7"/>
      <c r="T5" s="7"/>
      <c r="U5" s="7"/>
      <c r="V5" s="7"/>
      <c r="W5" s="7"/>
      <c r="X5" s="7"/>
    </row>
    <row r="6" spans="1:24" x14ac:dyDescent="0.25">
      <c r="A6" s="7" t="s">
        <v>98</v>
      </c>
      <c r="B6" s="7" t="s">
        <v>61</v>
      </c>
      <c r="C6" s="7" t="s">
        <v>99</v>
      </c>
      <c r="D6" s="7" t="s">
        <v>100</v>
      </c>
      <c r="E6" s="7" t="s">
        <v>101</v>
      </c>
      <c r="F6" s="7" t="s">
        <v>102</v>
      </c>
      <c r="G6" s="7" t="s">
        <v>66</v>
      </c>
      <c r="H6" s="7" t="s">
        <v>103</v>
      </c>
      <c r="I6" s="7" t="s">
        <v>66</v>
      </c>
      <c r="J6" s="7">
        <v>7</v>
      </c>
      <c r="K6" s="7">
        <v>3</v>
      </c>
      <c r="L6" s="7">
        <v>5</v>
      </c>
      <c r="M6" s="7" t="s">
        <v>104</v>
      </c>
      <c r="N6" s="7" t="s">
        <v>105</v>
      </c>
      <c r="O6" s="7" t="s">
        <v>106</v>
      </c>
      <c r="P6" s="7" t="s">
        <v>70</v>
      </c>
      <c r="Q6" s="7"/>
      <c r="R6" s="7"/>
      <c r="S6" s="7"/>
      <c r="T6" s="7"/>
      <c r="U6" s="7"/>
      <c r="V6" s="7"/>
      <c r="W6" s="7"/>
      <c r="X6" s="7"/>
    </row>
    <row r="7" spans="1:24" x14ac:dyDescent="0.25">
      <c r="A7" s="7"/>
      <c r="B7" s="7"/>
      <c r="C7" s="7"/>
      <c r="D7" s="7"/>
      <c r="E7" s="7"/>
      <c r="F7" s="7"/>
      <c r="G7" s="7"/>
      <c r="H7" s="7"/>
      <c r="I7" s="7"/>
      <c r="J7" s="7"/>
      <c r="K7" s="7"/>
      <c r="L7" s="7"/>
      <c r="M7" s="7"/>
      <c r="N7" s="7"/>
      <c r="O7" s="7"/>
      <c r="P7" s="7"/>
      <c r="Q7" s="7"/>
      <c r="R7" s="7"/>
      <c r="S7" s="7"/>
      <c r="T7" s="7"/>
      <c r="U7" s="7"/>
      <c r="V7" s="7"/>
      <c r="W7" s="7"/>
      <c r="X7" s="7"/>
    </row>
    <row r="8" spans="1:24" x14ac:dyDescent="0.25">
      <c r="A8" s="7"/>
      <c r="B8" s="7"/>
      <c r="C8" s="7"/>
      <c r="D8" s="7"/>
      <c r="E8" s="7"/>
      <c r="F8" s="7"/>
      <c r="G8" s="7"/>
      <c r="H8" s="7"/>
      <c r="I8" s="7"/>
      <c r="J8" s="7"/>
      <c r="K8" s="7"/>
      <c r="L8" s="7"/>
      <c r="M8" s="7"/>
      <c r="N8" s="7"/>
      <c r="O8" s="7"/>
      <c r="P8" s="7"/>
      <c r="Q8" s="7"/>
      <c r="R8" s="7"/>
      <c r="S8" s="7"/>
      <c r="T8" s="7"/>
      <c r="U8" s="7"/>
      <c r="V8" s="7"/>
      <c r="W8" s="7"/>
      <c r="X8" s="7"/>
    </row>
    <row r="9" spans="1:24" x14ac:dyDescent="0.25">
      <c r="A9" s="7"/>
      <c r="B9" s="7"/>
      <c r="C9" s="7"/>
      <c r="D9" s="7"/>
      <c r="E9" s="7"/>
      <c r="F9" s="7"/>
      <c r="G9" s="7"/>
      <c r="H9" s="7"/>
      <c r="I9" s="7"/>
      <c r="J9" s="7"/>
      <c r="K9" s="7"/>
      <c r="L9" s="7"/>
      <c r="M9" s="7"/>
      <c r="N9" s="7"/>
      <c r="O9" s="7"/>
      <c r="P9" s="7"/>
      <c r="Q9" s="7"/>
      <c r="R9" s="7"/>
      <c r="S9" s="7"/>
      <c r="T9" s="7"/>
      <c r="U9" s="7"/>
      <c r="V9" s="7"/>
      <c r="W9" s="7"/>
      <c r="X9" s="7"/>
    </row>
    <row r="10" spans="1:24" x14ac:dyDescent="0.25">
      <c r="A10" s="7"/>
      <c r="B10" s="7"/>
      <c r="C10" s="7"/>
      <c r="D10" s="7"/>
      <c r="E10" s="7"/>
      <c r="F10" s="7"/>
      <c r="G10" s="7"/>
      <c r="H10" s="7"/>
      <c r="I10" s="7"/>
      <c r="J10" s="7"/>
      <c r="K10" s="7"/>
      <c r="L10" s="7"/>
      <c r="M10" s="7"/>
      <c r="N10" s="7"/>
      <c r="O10" s="7"/>
      <c r="P10" s="7"/>
      <c r="Q10" s="7"/>
      <c r="R10" s="7"/>
      <c r="S10" s="7"/>
      <c r="T10" s="7"/>
      <c r="U10" s="7"/>
      <c r="V10" s="7"/>
      <c r="W10" s="7"/>
      <c r="X10" s="7"/>
    </row>
    <row r="11" spans="1:24" x14ac:dyDescent="0.25">
      <c r="A11" s="7"/>
      <c r="B11" s="7"/>
      <c r="C11" s="7"/>
      <c r="D11" s="7"/>
      <c r="E11" s="7"/>
      <c r="F11" s="7"/>
      <c r="G11" s="7"/>
      <c r="H11" s="7"/>
      <c r="I11" s="7"/>
      <c r="J11" s="7"/>
      <c r="K11" s="7"/>
      <c r="L11" s="7"/>
      <c r="M11" s="7"/>
      <c r="N11" s="7"/>
      <c r="O11" s="7"/>
      <c r="P11" s="7"/>
      <c r="Q11" s="7"/>
      <c r="R11" s="7"/>
      <c r="S11" s="7"/>
      <c r="T11" s="7"/>
      <c r="U11" s="7"/>
      <c r="V11" s="7"/>
      <c r="W11" s="7"/>
      <c r="X11" s="7"/>
    </row>
    <row r="12" spans="1:24" x14ac:dyDescent="0.25">
      <c r="A12" s="7"/>
      <c r="B12" s="7"/>
      <c r="C12" s="7"/>
      <c r="D12" s="7"/>
      <c r="E12" s="7"/>
      <c r="F12" s="7"/>
      <c r="G12" s="7"/>
      <c r="H12" s="7"/>
      <c r="I12" s="7"/>
      <c r="J12" s="7"/>
      <c r="K12" s="7"/>
      <c r="L12" s="7"/>
      <c r="M12" s="7"/>
      <c r="N12" s="7"/>
      <c r="O12" s="7"/>
      <c r="P12" s="7"/>
      <c r="Q12" s="7"/>
      <c r="R12" s="7"/>
      <c r="S12" s="7"/>
      <c r="T12" s="7"/>
      <c r="U12" s="7"/>
      <c r="V12" s="7"/>
      <c r="W12" s="7"/>
      <c r="X12" s="7"/>
    </row>
    <row r="13" spans="1:24" x14ac:dyDescent="0.25">
      <c r="A13" s="7"/>
      <c r="B13" s="7"/>
      <c r="C13" s="7"/>
      <c r="D13" s="7"/>
      <c r="E13" s="7"/>
      <c r="F13" s="7"/>
      <c r="G13" s="7"/>
      <c r="H13" s="7"/>
      <c r="I13" s="7"/>
      <c r="J13" s="7"/>
      <c r="K13" s="7"/>
      <c r="L13" s="7"/>
      <c r="M13" s="7"/>
      <c r="N13" s="7"/>
      <c r="O13" s="7"/>
      <c r="P13" s="7"/>
      <c r="Q13" s="7"/>
      <c r="R13" s="7"/>
      <c r="S13" s="7"/>
      <c r="T13" s="7"/>
      <c r="U13" s="7"/>
      <c r="V13" s="7"/>
      <c r="W13" s="7"/>
      <c r="X13" s="7"/>
    </row>
    <row r="14" spans="1:24" x14ac:dyDescent="0.25">
      <c r="A14" s="7"/>
      <c r="B14" s="7"/>
      <c r="C14" s="7"/>
      <c r="D14" s="7"/>
      <c r="E14" s="7"/>
      <c r="F14" s="7"/>
      <c r="G14" s="7"/>
      <c r="H14" s="7"/>
      <c r="I14" s="7"/>
      <c r="J14" s="7"/>
      <c r="K14" s="7"/>
      <c r="L14" s="7"/>
      <c r="M14" s="7"/>
      <c r="N14" s="7"/>
      <c r="O14" s="7"/>
      <c r="P14" s="7"/>
      <c r="Q14" s="7"/>
      <c r="R14" s="7"/>
      <c r="S14" s="7"/>
      <c r="T14" s="7"/>
      <c r="U14" s="7"/>
      <c r="V14" s="7"/>
      <c r="W14" s="7"/>
      <c r="X14" s="7"/>
    </row>
    <row r="15" spans="1:24" x14ac:dyDescent="0.25">
      <c r="A15" s="7"/>
      <c r="B15" s="7"/>
      <c r="C15" s="7"/>
      <c r="D15" s="7"/>
      <c r="E15" s="7"/>
      <c r="F15" s="7"/>
      <c r="G15" s="7"/>
      <c r="H15" s="7"/>
      <c r="I15" s="7"/>
      <c r="J15" s="7"/>
      <c r="K15" s="7"/>
      <c r="L15" s="7"/>
      <c r="M15" s="7"/>
      <c r="N15" s="7"/>
      <c r="O15" s="7"/>
      <c r="P15" s="7"/>
      <c r="Q15" s="7"/>
      <c r="R15" s="7"/>
      <c r="S15" s="7"/>
      <c r="T15" s="7"/>
      <c r="U15" s="7"/>
      <c r="V15" s="7"/>
      <c r="W15" s="7"/>
      <c r="X15" s="7"/>
    </row>
    <row r="16" spans="1:24" x14ac:dyDescent="0.25">
      <c r="A16" s="7"/>
      <c r="B16" s="7"/>
      <c r="C16" s="7"/>
      <c r="D16" s="7"/>
      <c r="E16" s="7"/>
      <c r="F16" s="7"/>
      <c r="G16" s="7"/>
      <c r="H16" s="7"/>
      <c r="I16" s="7"/>
      <c r="J16" s="7"/>
      <c r="K16" s="7"/>
      <c r="L16" s="7"/>
      <c r="M16" s="7"/>
      <c r="N16" s="7"/>
      <c r="O16" s="7"/>
      <c r="P16" s="7"/>
      <c r="Q16" s="7"/>
      <c r="R16" s="7"/>
      <c r="S16" s="7"/>
      <c r="T16" s="7"/>
      <c r="U16" s="7"/>
      <c r="V16" s="7"/>
      <c r="W16" s="7"/>
      <c r="X16" s="7"/>
    </row>
    <row r="17" spans="1:24" x14ac:dyDescent="0.25">
      <c r="A17" s="7"/>
      <c r="B17" s="7"/>
      <c r="C17" s="7"/>
      <c r="D17" s="7"/>
      <c r="E17" s="7"/>
      <c r="F17" s="7"/>
      <c r="G17" s="7"/>
      <c r="H17" s="7"/>
      <c r="I17" s="7"/>
      <c r="J17" s="7"/>
      <c r="K17" s="7"/>
      <c r="L17" s="7"/>
      <c r="M17" s="7"/>
      <c r="N17" s="7"/>
      <c r="O17" s="7"/>
      <c r="P17" s="7"/>
      <c r="Q17" s="7"/>
      <c r="R17" s="7"/>
      <c r="S17" s="7"/>
      <c r="T17" s="7"/>
      <c r="U17" s="7"/>
      <c r="V17" s="7"/>
      <c r="W17" s="7"/>
      <c r="X17" s="7"/>
    </row>
    <row r="18" spans="1:24" x14ac:dyDescent="0.25">
      <c r="A18" s="7"/>
      <c r="B18" s="7"/>
      <c r="C18" s="7"/>
      <c r="D18" s="7"/>
      <c r="E18" s="7"/>
      <c r="F18" s="7"/>
      <c r="G18" s="7"/>
      <c r="H18" s="7"/>
      <c r="I18" s="7"/>
      <c r="J18" s="7"/>
      <c r="K18" s="7"/>
      <c r="L18" s="7"/>
      <c r="M18" s="7"/>
      <c r="N18" s="7"/>
      <c r="O18" s="7"/>
      <c r="P18" s="7"/>
      <c r="Q18" s="7"/>
      <c r="R18" s="7"/>
      <c r="S18" s="7"/>
      <c r="T18" s="7"/>
      <c r="U18" s="7"/>
      <c r="V18" s="7"/>
      <c r="W18" s="7"/>
      <c r="X18" s="7"/>
    </row>
  </sheetData>
  <conditionalFormatting sqref="N2:N300">
    <cfRule type="expression" dxfId="7" priority="1">
      <formula>N2="Critical"</formula>
    </cfRule>
    <cfRule type="expression" dxfId="6" priority="2">
      <formula>N2="High"</formula>
    </cfRule>
    <cfRule type="expression" dxfId="5" priority="3">
      <formula>N2="Medium"</formula>
    </cfRule>
    <cfRule type="expression" dxfId="4" priority="4">
      <formula>N2="Low"</formula>
    </cfRule>
  </conditionalFormatting>
  <conditionalFormatting sqref="W2:W300">
    <cfRule type="expression" dxfId="3" priority="5">
      <formula>W2="Critical"</formula>
    </cfRule>
    <cfRule type="expression" dxfId="2" priority="6">
      <formula>W2="High"</formula>
    </cfRule>
    <cfRule type="expression" dxfId="1" priority="7">
      <formula>W2="Medium"</formula>
    </cfRule>
    <cfRule type="expression" dxfId="0" priority="8">
      <formula>W2="Low"</formula>
    </cfRule>
  </conditionalFormatting>
  <dataValidations count="2">
    <dataValidation type="list" allowBlank="1" showInputMessage="1" showErrorMessage="1" sqref="G2 I2 G3 I3 G4 I4 G5 I5 G6 I6 G7 I7 G8 I8 G9 I9 G10 I10 G11 I11 G12 I12 G13 I13 G14 I14 G15 I15 G16 I16 G17 I17 G18 I18 G19 I19 G20 I20 G21 I21 G22 I22 G23 I23 G24 I24 G25 I25 G26 I26 G27 I27 G28 I28 G29 I29 G30 I30 G31 I31 G32 I32 G33 I33 G34 I34 G35 I35 G36 I36 G37 I37 G38 I38 G39 I39 G40 I40 G41 I41 G42 I42 G43 I43 G44 I44 G45 I45 G46 I46 G47 I47 G48 I48 G49 I49 G50 I50 G51 I51 G52 I52 G53 I53 G54 I54 G55 I55 G56 I56 G57 I57 G58 I58 G59 I59 G60 I60 G61 I61 G62 I62 G63 I63 G64 I64 G65 I65 G66 I66 G67 I67 G68 I68 G69 I69 G70 I70 G71 I71 G72 I72 G73 I73 G74 I74 G75 I75 G76 I76 G77 I77 G78 I78 G79 I79 G80 I80 G81 I81 G82 I82 G83 I83 G84 I84 G85 I85 G86 I86 G87 I87 G88 I88 G89 I89 G90 I90 G91 I91 G92 I92 G93 I93 G94 I94 G95 I95 G96 I96 G97 I97 G98 I98 G99 I99 G100 I100 G101 I101 G102 I102 G103 I103 G104 I104 G105 I105 G106 I106 G107 I107 G108 I108 G109 I109 G110 I110 G111 I111 G112 I112 G113 I113 G114 I114 G115 I115 G116 I116 G117 I117 G118 I118 G119 I119 G120 I120 G121 I121 G122 I122 G123 I123 G124 I124 G125 I125 G126 I126 G127 I127 G128 I128 G129 I129 G130 I130 G131 I131 G132 I132 G133 I133 G134 I134 G135 I135 G136 I136 G137 I137 G138 I138 G139 I139 G140 I140 G141 I141 G142 I142 G143 I143 G144 I144 G145 I145 G146 I146 G147 I147 G148 I148 G149 I149 G150 I150 G151 I151 G152 I152 G153 I153 G154 I154 G155 I155 G156 I156 G157 I157 G158 I158 G159 I159 G160 I160 G161 I161 G162 I162 G163 I163 G164 I164 G165 I165 G166 I166 G167 I167 G168 I168 G169 I169 G170 I170 G171 I171 G172 I172 G173 I173 G174 I174 G175 I175 G176 I176 G177 I177 G178 I178 G179 I179 G180 I180 G181 I181 G182 I182 G183 I183 G184 I184 G185 I185 G186 I186 G187 I187 G188 I188 G189 I189 G190 I190 G191 I191 G192 I192 G193 I193 G194 I194 G195 I195 G196 I196 G197 I197 G198 I198 G199 I199 G200 I200 G201 I201 G202 I202 G203 I203 G204 I204 G205 I205 G206 I206 G207 I207 G208 I208 G209 I209 G210 I210 G211 I211 G212 I212 G213 I213 G214 I214 G215 I215 G216 I216 G217 I217 G218 I218 G219 I219 G220 I220 G221 I221 G222 I222 G223 I223 G224 I224 G225 I225 G226 I226 G227 I227 G228 I228 G229 I229 G230 I230 G231 I231 G232 I232 G233 I233 G234 I234 G235 I235 G236 I236 G237 I237 G238 I238 G239 I239 G240 I240 G241 I241 G242 I242 G243 I243 G244 I244 G245 I245 G246 I246 G247 I247 G248 I248 G249 I249 G250 I250 G251 I251 G252 I252 G253 I253 G254 I254 G255 I255 G256 I256 G257 I257 G258 I258 G259 I259 G260 I260 G261 I261 G262 I262 G263 I263 G264 I264 G265 I265 G266 I266 G267 I267 G268 I268 G269 I269 G270 I270 G271 I271 G272 I272 G273 I273 G274 I274 G275 I275 G276 I276 G277 I277 G278 I278 G279 I279 G280 I280 G281 I281 G282 I282 G283 I283 G284 I284 G285 I285 G286 I286 G287 I287 G288 I288 G289 I289 G290 I290 G291 I291 G292 I292 G293 I293 G294 I294 G295 I295 G296 I296 G297 I297 G298 I298 G299 I299 G300 I300 G301 I301" xr:uid="{00000000-0002-0000-0200-000000000000}">
      <formula1>"YES,NO"</formula1>
    </dataValidation>
    <dataValidation type="whole" allowBlank="1" showInputMessage="1" showErrorMessage="1" sqref="J2 K2 L2 S2 T2 U2 J3 K3 L3 S3 T3 U3 J4 K4 L4 S4 T4 U4 J5 K5 L5 S5 T5 U5 J6 K6 L6 S6 T6 U6 J7 K7 L7 S7 T7 U7 J8 K8 L8 S8 T8 U8 J9 K9 L9 S9 T9 U9 J10 K10 L10 S10 T10 U10 J11 K11 L11 S11 T11 U11 J12 K12 L12 S12 T12 U12 J13 K13 L13 S13 T13 U13 J14 K14 L14 S14 T14 U14 J15 K15 L15 S15 T15 U15 J16 K16 L16 S16 T16 U16 J17 K17 L17 S17 T17 U17 J18 K18 L18 S18 T18 U18 J19 K19 L19 S19 T19 U19 J20 K20 L20 S20 T20 U20 J21 K21 L21 S21 T21 U21 J22 K22 L22 S22 T22 U22 J23 K23 L23 S23 T23 U23 J24 K24 L24 S24 T24 U24 J25 K25 L25 S25 T25 U25 J26 K26 L26 S26 T26 U26 J27 K27 L27 S27 T27 U27 J28 K28 L28 S28 T28 U28 J29 K29 L29 S29 T29 U29 J30 K30 L30 S30 T30 U30 J31 K31 L31 S31 T31 U31 J32 K32 L32 S32 T32 U32 J33 K33 L33 S33 T33 U33 J34 K34 L34 S34 T34 U34 J35 K35 L35 S35 T35 U35 J36 K36 L36 S36 T36 U36 J37 K37 L37 S37 T37 U37 J38 K38 L38 S38 T38 U38 J39 K39 L39 S39 T39 U39 J40 K40 L40 S40 T40 U40 J41 K41 L41 S41 T41 U41 J42 K42 L42 S42 T42 U42 J43 K43 L43 S43 T43 U43 J44 K44 L44 S44 T44 U44 J45 K45 L45 S45 T45 U45 J46 K46 L46 S46 T46 U46 J47 K47 L47 S47 T47 U47 J48 K48 L48 S48 T48 U48 J49 K49 L49 S49 T49 U49 J50 K50 L50 S50 T50 U50 J51 K51 L51 S51 T51 U51 J52 K52 L52 S52 T52 U52 J53 K53 L53 S53 T53 U53 J54 K54 L54 S54 T54 U54 J55 K55 L55 S55 T55 U55 J56 K56 L56 S56 T56 U56 J57 K57 L57 S57 T57 U57 J58 K58 L58 S58 T58 U58 J59 K59 L59 S59 T59 U59 J60 K60 L60 S60 T60 U60 J61 K61 L61 S61 T61 U61 J62 K62 L62 S62 T62 U62 J63 K63 L63 S63 T63 U63 J64 K64 L64 S64 T64 U64 J65 K65 L65 S65 T65 U65 J66 K66 L66 S66 T66 U66 J67 K67 L67 S67 T67 U67 J68 K68 L68 S68 T68 U68 J69 K69 L69 S69 T69 U69 J70 K70 L70 S70 T70 U70 J71 K71 L71 S71 T71 U71 J72 K72 L72 S72 T72 U72 J73 K73 L73 S73 T73 U73 J74 K74 L74 S74 T74 U74 J75 K75 L75 S75 T75 U75 J76 K76 L76 S76 T76 U76 J77 K77 L77 S77 T77 U77 J78 K78 L78 S78 T78 U78 J79 K79 L79 S79 T79 U79 J80 K80 L80 S80 T80 U80 J81 K81 L81 S81 T81 U81 J82 K82 L82 S82 T82 U82 J83 K83 L83 S83 T83 U83 J84 K84 L84 S84 T84 U84 J85 K85 L85 S85 T85 U85 J86 K86 L86 S86 T86 U86 J87 K87 L87 S87 T87 U87 J88 K88 L88 S88 T88 U88 J89 K89 L89 S89 T89 U89 J90 K90 L90 S90 T90 U90 J91 K91 L91 S91 T91 U91 J92 K92 L92 S92 T92 U92 J93 K93 L93 S93 T93 U93 J94 K94 L94 S94 T94 U94 J95 K95 L95 S95 T95 U95 J96 K96 L96 S96 T96 U96 J97 K97 L97 S97 T97 U97 J98 K98 L98 S98 T98 U98 J99 K99 L99 S99 T99 U99 J100 K100 L100 S100 T100 U100 J101 K101 L101 S101 T101 U101 J102 K102 L102 S102 T102 U102 J103 K103 L103 S103 T103 U103 J104 K104 L104 S104 T104 U104 J105 K105 L105 S105 T105 U105 J106 K106 L106 S106 T106 U106 J107 K107 L107 S107 T107 U107 J108 K108 L108 S108 T108 U108 J109 K109 L109 S109 T109 U109 J110 K110 L110 S110 T110 U110 J111 K111 L111 S111 T111 U111 J112 K112 L112 S112 T112 U112 J113 K113 L113 S113 T113 U113 J114 K114 L114 S114 T114 U114 J115 K115 L115 S115 T115 U115 J116 K116 L116 S116 T116 U116 J117 K117 L117 S117 T117 U117 J118 K118 L118 S118 T118 U118 J119 K119 L119 S119 T119 U119 J120 K120 L120 S120 T120 U120 J121 K121 L121 S121 T121 U121 J122 K122 L122 S122 T122 U122 J123 K123 L123 S123 T123 U123 J124 K124 L124 S124 T124 U124 J125 K125 L125 S125 T125 U125 J126 K126 L126 S126 T126 U126 J127 K127 L127 S127 T127 U127 J128 K128 L128 S128 T128 U128 J129 K129 L129 S129 T129 U129 J130 K130 L130 S130 T130 U130 J131 K131 L131 S131 T131 U131 J132 K132 L132 S132 T132 U132 J133 K133 L133 S133 T133 U133 J134 K134 L134 S134 T134 U134 J135 K135 L135 S135 T135 U135 J136 K136 L136 S136 T136 U136 J137 K137 L137 S137 T137 U137 J138 K138 L138 S138 T138 U138 J139 K139 L139 S139 T139 U139 J140 K140 L140 S140 T140 U140 J141 K141 L141 S141 T141 U141 J142 K142 L142 S142 T142 U142 J143 K143 L143 S143 T143 U143 J144 K144 L144 S144 T144 U144 J145 K145 L145 S145 T145 U145 J146 K146 L146 S146 T146 U146 J147 K147 L147 S147 T147 U147 J148 K148 L148 S148 T148 U148 J149 K149 L149 S149 T149 U149 J150 K150 L150 S150 T150 U150 J151 K151 L151 S151 T151 U151 J152 K152 L152 S152 T152 U152 J153 K153 L153 S153 T153 U153 J154 K154 L154 S154 T154 U154 J155 K155 L155 S155 T155 U155 J156 K156 L156 S156 T156 U156 J157 K157 L157 S157 T157 U157 J158 K158 L158 S158 T158 U158 J159 K159 L159 S159 T159 U159 J160 K160 L160 S160 T160 U160 J161 K161 L161 S161 T161 U161 J162 K162 L162 S162 T162 U162 J163 K163 L163 S163 T163 U163 J164 K164 L164 S164 T164 U164 J165 K165 L165 S165 T165 U165 J166 K166 L166 S166 T166 U166 J167 K167 L167 S167 T167 U167 J168 K168 L168 S168 T168 U168 J169 K169 L169 S169 T169 U169 J170 K170 L170 S170 T170 U170 J171 K171 L171 S171 T171 U171 J172 K172 L172 S172 T172 U172 J173 K173 L173 S173 T173 U173 J174 K174 L174 S174 T174 U174 J175 K175 L175 S175 T175 U175 J176 K176 L176 S176 T176 U176 J177 K177 L177 S177 T177 U177 J178 K178 L178 S178 T178 U178 J179 K179 L179 S179 T179 U179 J180 K180 L180 S180 T180 U180 J181 K181 L181 S181 T181 U181 J182 K182 L182 S182 T182 U182 J183 K183 L183 S183 T183 U183 J184 K184 L184 S184 T184 U184 J185 K185 L185 S185 T185 U185 J186 K186 L186 S186 T186 U186 J187 K187 L187 S187 T187 U187 J188 K188 L188 S188 T188 U188 J189 K189 L189 S189 T189 U189 J190 K190 L190 S190 T190 U190 J191 K191 L191 S191 T191 U191 J192 K192 L192 S192 T192 U192 J193 K193 L193 S193 T193 U193 J194 K194 L194 S194 T194 U194 J195 K195 L195 S195 T195 U195 J196 K196 L196 S196 T196 U196 J197 K197 L197 S197 T197 U197 J198 K198 L198 S198 T198 U198 J199 K199 L199 S199 T199 U199 J200 K200 L200 S200 T200 U200 J201 K201 L201 S201 T201 U201 J202 K202 L202 S202 T202 U202 J203 K203 L203 S203 T203 U203 J204 K204 L204 S204 T204 U204 J205 K205 L205 S205 T205 U205 J206 K206 L206 S206 T206 U206 J207 K207 L207 S207 T207 U207 J208 K208 L208 S208 T208 U208 J209 K209 L209 S209 T209 U209 J210 K210 L210 S210 T210 U210 J211 K211 L211 S211 T211 U211 J212 K212 L212 S212 T212 U212 J213 K213 L213 S213 T213 U213 J214 K214 L214 S214 T214 U214 J215 K215 L215 S215 T215 U215 J216 K216 L216 S216 T216 U216 J217 K217 L217 S217 T217 U217 J218 K218 L218 S218 T218 U218 J219 K219 L219 S219 T219 U219 J220 K220 L220 S220 T220 U220 J221 K221 L221 S221 T221 U221 J222 K222 L222 S222 T222 U222 J223 K223 L223 S223 T223 U223 J224 K224 L224 S224 T224 U224 J225 K225 L225 S225 T225 U225 J226 K226 L226 S226 T226 U226 J227 K227 L227 S227 T227 U227 J228 K228 L228 S228 T228 U228 J229 K229 L229 S229 T229 U229 J230 K230 L230 S230 T230 U230 J231 K231 L231 S231 T231 U231 J232 K232 L232 S232 T232 U232 J233 K233 L233 S233 T233 U233 J234 K234 L234 S234 T234 U234 J235 K235 L235 S235 T235 U235 J236 K236 L236 S236 T236 U236 J237 K237 L237 S237 T237 U237 J238 K238 L238 S238 T238 U238 J239 K239 L239 S239 T239 U239 J240 K240 L240 S240 T240 U240 J241 K241 L241 S241 T241 U241 J242 K242 L242 S242 T242 U242 J243 K243 L243 S243 T243 U243 J244 K244 L244 S244 T244 U244 J245 K245 L245 S245 T245 U245 J246 K246 L246 S246 T246 U246 J247 K247 L247 S247 T247 U247 J248 K248 L248 S248 T248 U248 J249 K249 L249 S249 T249 U249 J250 K250 L250 S250 T250 U250 J251 K251 L251 S251 T251 U251 J252 K252 L252 S252 T252 U252 J253 K253 L253 S253 T253 U253 J254 K254 L254 S254 T254 U254 J255 K255 L255 S255 T255 U255 J256 K256 L256 S256 T256 U256 J257 K257 L257 S257 T257 U257 J258 K258 L258 S258 T258 U258 J259 K259 L259 S259 T259 U259 J260 K260 L260 S260 T260 U260 J261 K261 L261 S261 T261 U261 J262 K262 L262 S262 T262 U262 J263 K263 L263 S263 T263 U263 J264 K264 L264 S264 T264 U264 J265 K265 L265 S265 T265 U265 J266 K266 L266 S266 T266 U266 J267 K267 L267 S267 T267 U267 J268 K268 L268 S268 T268 U268 J269 K269 L269 S269 T269 U269 J270 K270 L270 S270 T270 U270 J271 K271 L271 S271 T271 U271 J272 K272 L272 S272 T272 U272 J273 K273 L273 S273 T273 U273 J274 K274 L274 S274 T274 U274 J275 K275 L275 S275 T275 U275 J276 K276 L276 S276 T276 U276 J277 K277 L277 S277 T277 U277 J278 K278 L278 S278 T278 U278 J279 K279 L279 S279 T279 U279 J280 K280 L280 S280 T280 U280 J281 K281 L281 S281 T281 U281 J282 K282 L282 S282 T282 U282 J283 K283 L283 S283 T283 U283 J284 K284 L284 S284 T284 U284 J285 K285 L285 S285 T285 U285 J286 K286 L286 S286 T286 U286 J287 K287 L287 S287 T287 U287 J288 K288 L288 S288 T288 U288 J289 K289 L289 S289 T289 U289 J290 K290 L290 S290 T290 U290 J291 K291 L291 S291 T291 U291 J292 K292 L292 S292 T292 U292 J293 K293 L293 S293 T293 U293 J294 K294 L294 S294 T294 U294 J295 K295 L295 S295 T295 U295 J296 K296 L296 S296 T296 U296 J297 K297 L297 S297 T297 U297 J298 K298 L298 S298 T298 U298 J299 K299 L299 S299 T299 U299 J300 K300 L300 S300 T300 U300 J301 K301 L301 S301 T301 U301" xr:uid="{00000000-0002-0000-0200-000001000000}">
      <formula1>1</formula1>
      <formula2>10</formula2>
    </dataValidation>
  </dataValidations>
  <pageMargins left="0.75" right="0.75" top="1" bottom="1" header="0.5" footer="0.5"/>
  <pageSetup orientation="landscape" r:id="rId1"/>
  <headerFooter>
    <oddHeader>&amp;CInsert Logo Here&amp;ROperational Risk Register
F-811-001 Rev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view="pageLayout" zoomScaleNormal="100" workbookViewId="0">
      <selection activeCell="C26" sqref="C26"/>
    </sheetView>
  </sheetViews>
  <sheetFormatPr defaultRowHeight="15" x14ac:dyDescent="0.25"/>
  <cols>
    <col min="1" max="1" width="15" customWidth="1"/>
    <col min="2" max="2" width="12" customWidth="1"/>
  </cols>
  <sheetData>
    <row r="1" spans="1:2" ht="18.75" x14ac:dyDescent="0.3">
      <c r="A1" s="1" t="s">
        <v>107</v>
      </c>
    </row>
    <row r="3" spans="1:2" x14ac:dyDescent="0.25">
      <c r="A3" s="2" t="s">
        <v>108</v>
      </c>
      <c r="B3" s="2" t="s">
        <v>109</v>
      </c>
    </row>
    <row r="4" spans="1:2" x14ac:dyDescent="0.25">
      <c r="A4" t="s">
        <v>110</v>
      </c>
      <c r="B4">
        <f>COUNTIFS('RISK REGISTER'!N:N,"Critical",'RISK REGISTER'!R:R,"&lt;&gt;Closed")</f>
        <v>0</v>
      </c>
    </row>
    <row r="5" spans="1:2" x14ac:dyDescent="0.25">
      <c r="A5" t="s">
        <v>111</v>
      </c>
      <c r="B5">
        <f>COUNTIFS('RISK REGISTER'!N:N,"High",'RISK REGISTER'!R:R,"&lt;&gt;Closed")</f>
        <v>0</v>
      </c>
    </row>
    <row r="6" spans="1:2" x14ac:dyDescent="0.25">
      <c r="A6" t="s">
        <v>112</v>
      </c>
      <c r="B6">
        <f>COUNTIFS('RISK REGISTER'!N:N,"Medium",'RISK REGISTER'!R:R,"&lt;&gt;Closed")</f>
        <v>0</v>
      </c>
    </row>
    <row r="7" spans="1:2" x14ac:dyDescent="0.25">
      <c r="A7" t="s">
        <v>113</v>
      </c>
      <c r="B7">
        <f>COUNTIFS('RISK REGISTER'!N:N,"Low",'RISK REGISTER'!R:R,"&lt;&gt;Closed")</f>
        <v>0</v>
      </c>
    </row>
  </sheetData>
  <pageMargins left="0.75" right="0.75" top="1" bottom="1" header="0.5" footer="0.5"/>
  <pageSetup orientation="portrait" r:id="rId1"/>
  <headerFooter>
    <oddHeader>&amp;CInsert Logo Here&amp;ROperational Risk Register
F-811-001 Rev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SCORING TABLE</vt:lpstr>
      <vt:lpstr>RISK REGISTER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Olea</cp:lastModifiedBy>
  <dcterms:created xsi:type="dcterms:W3CDTF">2025-05-06T01:01:44Z</dcterms:created>
  <dcterms:modified xsi:type="dcterms:W3CDTF">2025-05-06T01:35:14Z</dcterms:modified>
</cp:coreProperties>
</file>